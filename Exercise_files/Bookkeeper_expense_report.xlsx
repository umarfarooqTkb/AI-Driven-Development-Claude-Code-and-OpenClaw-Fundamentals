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2deae0662d49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nse Report" sheetId="1" r:id="R7c84a51a30494d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4">
    <x:border/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1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4" xfId="0" applyNumberFormat="1" applyFont="1" applyFill="1" applyBorder="1" applyAlignment="1">
      <x:alignment vertical="center" wrapText="1"/>
    </x:xf>
    <x:xf numFmtId="200" fontId="0" fillId="0" borderId="1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22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4" xfId="0" applyNumberFormat="1" applyFont="1" applyFill="1" applyBorder="1" applyAlignment="1">
      <x:alignment vertical="center" wrapText="1"/>
    </x:xf>
    <x:xf numFmtId="201" fontId="0" fillId="0" borderId="1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22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1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92d0a47fd14bca" /><Relationship Type="http://schemas.openxmlformats.org/officeDocument/2006/relationships/theme" Target="/xl/theme/theme1.xml" Id="R22fcf5160e44414e" /><Relationship Type="http://schemas.openxmlformats.org/officeDocument/2006/relationships/sharedStrings" Target="/xl/sharedStrings.xml" Id="R0a1b010869994ddd" /><Relationship Type="http://schemas.openxmlformats.org/officeDocument/2006/relationships/worksheet" Target="/xl/worksheets/sheet1.xml" Id="R7c84a51a30494dbf" /></Relationships>
</file>

<file path=xl/tables/table1.xml><?xml version="1.0" encoding="utf-8"?>
<x:table xmlns:x="http://schemas.openxmlformats.org/spreadsheetml/2006/main" id="1" name="ExpenseTable" displayName="ExpenseTable" ref="A2:J7" headerRowCount="1">
  <x:tableColumns count="10">
    <x:tableColumn id="1" name="Expense ID"/>
    <x:tableColumn id="2" name="Date"/>
    <x:tableColumn id="3" name="Vendor"/>
    <x:tableColumn id="4" name="Category"/>
    <x:tableColumn id="5" name="Description"/>
    <x:tableColumn id="6" name="Payment Method"/>
    <x:tableColumn id="7" name="Amount"/>
    <x:tableColumn id="8" name="Tax"/>
    <x:tableColumn id="9" name="Total"/>
    <x:tableColumn id="10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4b7356686549c9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20" hidden="0" customWidth="1"/>
    <x:col min="5" max="5" width="28" hidden="0" customWidth="1"/>
    <x:col min="6" max="6" width="18" hidden="0" customWidth="1"/>
    <x:col min="7" max="7" width="13" hidden="0" customWidth="1"/>
    <x:col min="8" max="8" width="13" hidden="0" customWidth="1"/>
    <x:col min="9" max="9" width="13" hidden="0" customWidth="1"/>
    <x:col min="10" max="10" width="12" hidden="0" customWidth="1"/>
  </x:cols>
  <x:sheetData>
    <x:row r="1" ht="28" customHeight="1">
      <x:c r="A1" s="5" t="str">
        <x:v>Bookkeeper Expense Report</x:v>
      </x:c>
      <x:c r="B1" t="str">
        <x:v>Bookkeeper Expense Report</x:v>
      </x:c>
      <x:c r="C1" t="str">
        <x:v>Bookkeeper Expense Report</x:v>
      </x:c>
      <x:c r="D1" t="str">
        <x:v>Bookkeeper Expense Report</x:v>
      </x:c>
      <x:c r="E1" t="str">
        <x:v>Bookkeeper Expense Report</x:v>
      </x:c>
      <x:c r="F1" t="str">
        <x:v>Bookkeeper Expense Report</x:v>
      </x:c>
      <x:c r="G1" t="str">
        <x:v>Bookkeeper Expense Report</x:v>
      </x:c>
      <x:c r="H1" t="str">
        <x:v>Bookkeeper Expense Report</x:v>
      </x:c>
      <x:c r="I1" t="str">
        <x:v>Bookkeeper Expense Report</x:v>
      </x:c>
      <x:c r="J1" t="str">
        <x:v>Bookkeeper Expense Report</x:v>
      </x:c>
    </x:row>
    <x:row r="2" ht="24" customHeight="1">
      <x:c r="A2" s="21" t="str">
        <x:v>Expense ID</x:v>
      </x:c>
      <x:c r="B2" s="22" t="str">
        <x:v>Date</x:v>
      </x:c>
      <x:c r="C2" s="22" t="str">
        <x:v>Vendor</x:v>
      </x:c>
      <x:c r="D2" s="22" t="str">
        <x:v>Category</x:v>
      </x:c>
      <x:c r="E2" s="22" t="str">
        <x:v>Description</x:v>
      </x:c>
      <x:c r="F2" s="22" t="str">
        <x:v>Payment Method</x:v>
      </x:c>
      <x:c r="G2" s="22" t="str">
        <x:v>Amount</x:v>
      </x:c>
      <x:c r="H2" s="22" t="str">
        <x:v>Tax</x:v>
      </x:c>
      <x:c r="I2" s="22" t="str">
        <x:v>Total</x:v>
      </x:c>
      <x:c r="J2" s="23" t="str">
        <x:v>Status</x:v>
      </x:c>
    </x:row>
    <x:row r="3">
      <x:c r="A3" s="56" t="str">
        <x:v>EXP-001</x:v>
      </x:c>
      <x:c r="B3" s="91" t="n">
        <x:v>46204</x:v>
      </x:c>
      <x:c r="C3" s="57" t="str">
        <x:v>OfficeMart</x:v>
      </x:c>
      <x:c r="D3" s="57" t="str">
        <x:v>Office Supplies</x:v>
      </x:c>
      <x:c r="E3" s="57" t="str">
        <x:v>Printer paper and pens</x:v>
      </x:c>
      <x:c r="F3" s="57" t="str">
        <x:v>Business Card</x:v>
      </x:c>
      <x:c r="G3" s="97" t="n">
        <x:v>125</x:v>
      </x:c>
      <x:c r="H3" s="97" t="n">
        <x:v>10</x:v>
      </x:c>
      <x:c r="I3" s="97" t="n">
        <x:f>G3+H3</x:f>
        <x:v>135</x:v>
      </x:c>
      <x:c r="J3" s="58" t="str">
        <x:v>Paid</x:v>
      </x:c>
    </x:row>
    <x:row r="4">
      <x:c r="A4" s="59" t="str">
        <x:v>EXP-002</x:v>
      </x:c>
      <x:c r="B4" s="92" t="n">
        <x:v>46206</x:v>
      </x:c>
      <x:c r="C4" s="60" t="str">
        <x:v>CloudHost Ltd.</x:v>
      </x:c>
      <x:c r="D4" s="60" t="str">
        <x:v>Software &amp; Hosting</x:v>
      </x:c>
      <x:c r="E4" s="60" t="str">
        <x:v>Monthly cloud hosting</x:v>
      </x:c>
      <x:c r="F4" s="60" t="str">
        <x:v>Bank Transfer</x:v>
      </x:c>
      <x:c r="G4" s="98" t="n">
        <x:v>320</x:v>
      </x:c>
      <x:c r="H4" s="98" t="n">
        <x:v>0</x:v>
      </x:c>
      <x:c r="I4" s="98" t="n">
        <x:f>G4+H4</x:f>
        <x:v>320</x:v>
      </x:c>
      <x:c r="J4" s="61" t="str">
        <x:v>Paid</x:v>
      </x:c>
    </x:row>
    <x:row r="5">
      <x:c r="A5" s="59" t="str">
        <x:v>EXP-003</x:v>
      </x:c>
      <x:c r="B5" s="92" t="n">
        <x:v>46209</x:v>
      </x:c>
      <x:c r="C5" s="60" t="str">
        <x:v>City Fuel Station</x:v>
      </x:c>
      <x:c r="D5" s="60" t="str">
        <x:v>Travel</x:v>
      </x:c>
      <x:c r="E5" s="60" t="str">
        <x:v>Fuel for client visit</x:v>
      </x:c>
      <x:c r="F5" s="60" t="str">
        <x:v>Business Card</x:v>
      </x:c>
      <x:c r="G5" s="98" t="n">
        <x:v>78.5</x:v>
      </x:c>
      <x:c r="H5" s="98" t="n">
        <x:v>6.28</x:v>
      </x:c>
      <x:c r="I5" s="98" t="n">
        <x:f>G5+H5</x:f>
        <x:v>84.78</x:v>
      </x:c>
      <x:c r="J5" s="61" t="str">
        <x:v>Paid</x:v>
      </x:c>
    </x:row>
    <x:row r="6">
      <x:c r="A6" s="59" t="str">
        <x:v>EXP-004</x:v>
      </x:c>
      <x:c r="B6" s="92" t="n">
        <x:v>46211</x:v>
      </x:c>
      <x:c r="C6" s="60" t="str">
        <x:v>QuickPrint Services</x:v>
      </x:c>
      <x:c r="D6" s="60" t="str">
        <x:v>Marketing</x:v>
      </x:c>
      <x:c r="E6" s="60" t="str">
        <x:v>Brochure printing</x:v>
      </x:c>
      <x:c r="F6" s="60" t="str">
        <x:v>Cash</x:v>
      </x:c>
      <x:c r="G6" s="98" t="n">
        <x:v>210</x:v>
      </x:c>
      <x:c r="H6" s="98" t="n">
        <x:v>16.8</x:v>
      </x:c>
      <x:c r="I6" s="98" t="n">
        <x:f>G6+H6</x:f>
        <x:v>226.8</x:v>
      </x:c>
      <x:c r="J6" s="61" t="str">
        <x:v>Pending</x:v>
      </x:c>
    </x:row>
    <x:row r="7">
      <x:c r="A7" s="62" t="str">
        <x:v>EXP-005</x:v>
      </x:c>
      <x:c r="B7" s="93" t="n">
        <x:v>46213</x:v>
      </x:c>
      <x:c r="C7" s="63" t="str">
        <x:v>NetConnect</x:v>
      </x:c>
      <x:c r="D7" s="63" t="str">
        <x:v>Utilities</x:v>
      </x:c>
      <x:c r="E7" s="63" t="str">
        <x:v>Office internet bill</x:v>
      </x:c>
      <x:c r="F7" s="63" t="str">
        <x:v>Direct Debit</x:v>
      </x:c>
      <x:c r="G7" s="99" t="n">
        <x:v>145</x:v>
      </x:c>
      <x:c r="H7" s="99" t="n">
        <x:v>11.6</x:v>
      </x:c>
      <x:c r="I7" s="99" t="n">
        <x:f>G7+H7</x:f>
        <x:v>156.6</x:v>
      </x:c>
      <x:c r="J7" s="64" t="str">
        <x:v>Paid</x:v>
      </x:c>
    </x:row>
    <x:row r="9">
      <x:c r="F9" s="104" t="str">
        <x:v>Summary</x:v>
      </x:c>
      <x:c r="G9" s="105" t="str">
        <x:v>Amount</x:v>
      </x:c>
      <x:c r="H9" s="106" t="str">
        <x:v>Value</x:v>
      </x:c>
    </x:row>
    <x:row r="10">
      <x:c r="F10" s="38" t="str">
        <x:v>Total expenses</x:v>
      </x:c>
      <x:c r="G10" s="111" t="n">
        <x:f>SUM(G3:G7)</x:f>
        <x:v>878.5</x:v>
      </x:c>
    </x:row>
    <x:row r="11">
      <x:c r="F11" s="41" t="str">
        <x:v>Total tax</x:v>
      </x:c>
      <x:c r="G11" s="112" t="n">
        <x:f>SUM(H3:H7)</x:f>
        <x:v>44.68</x:v>
      </x:c>
    </x:row>
    <x:row r="12">
      <x:c r="F12" s="44" t="str">
        <x:v>Grand total</x:v>
      </x:c>
      <x:c r="G12" s="113" t="n">
        <x:f>SUM(I3:I7)</x:f>
        <x:v>923.18</x:v>
      </x:c>
    </x:row>
  </x:sheetData>
  <x:mergeCells>
    <x:mergeCell ref="A1:J1"/>
  </x:mergeCells>
  <x:conditionalFormatting sqref="J3:J7">
    <x:cfRule type="expression" dxfId="0" priority="1">
      <x:formula>J3="Pending"</x:formula>
    </x:cfRule>
    <x:cfRule type="expression" dxfId="1" priority="2">
      <x:formula>J3="Paid"</x:formula>
    </x:cfRule>
  </x:conditionalFormatting>
  <x:dataValidations count="1">
    <x:dataValidation type="list" sqref="J3:J7">
      <x:formula1>"Paid,Pending,Rejected"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4b7356686549c9"/>
  </x:tableParts>
</x:worksheet>
</file>