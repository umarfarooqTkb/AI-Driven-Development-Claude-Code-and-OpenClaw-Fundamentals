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5c3872066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 Ledger" sheetId="1" r:id="R00a18056c87e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b5888385c45e5" /><Relationship Type="http://schemas.openxmlformats.org/officeDocument/2006/relationships/theme" Target="/xl/theme/theme1.xml" Id="R02c1af359fcb4554" /><Relationship Type="http://schemas.openxmlformats.org/officeDocument/2006/relationships/sharedStrings" Target="/xl/sharedStrings.xml" Id="R25cb2dd732a14163" /><Relationship Type="http://schemas.openxmlformats.org/officeDocument/2006/relationships/worksheet" Target="/xl/worksheets/sheet1.xml" Id="R00a18056c87e4f58" /></Relationships>
</file>

<file path=xl/tables/table1.xml><?xml version="1.0" encoding="utf-8"?>
<x:table xmlns:x="http://schemas.openxmlformats.org/spreadsheetml/2006/main" id="1" name="LedgerTable" displayName="LedgerTable" ref="A2:H7" headerRowCount="1">
  <x:tableColumns count="8">
    <x:tableColumn id="1" name="Date"/>
    <x:tableColumn id="2" name="Entry ID"/>
    <x:tableColumn id="3" name="Account"/>
    <x:tableColumn id="4" name="Description"/>
    <x:tableColumn id="5" name="Debit"/>
    <x:tableColumn id="6" name="Credit"/>
    <x:tableColumn id="7" name="Running Balance"/>
    <x:tableColumn id="8" name="Refer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8bc63959994a9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</x:cols>
  <x:sheetData>
    <x:row r="1" ht="28" customHeight="1">
      <x:c r="A1" s="5" t="str">
        <x:v>Bookkeeper Ledger File</x:v>
      </x:c>
      <x:c r="B1" t="str">
        <x:v>Bookkeeper Ledger File</x:v>
      </x:c>
      <x:c r="C1" t="str">
        <x:v>Bookkeeper Ledger File</x:v>
      </x:c>
      <x:c r="D1" t="str">
        <x:v>Bookkeeper Ledger File</x:v>
      </x:c>
      <x:c r="E1" t="str">
        <x:v>Bookkeeper Ledger File</x:v>
      </x:c>
      <x:c r="F1" t="str">
        <x:v>Bookkeeper Ledger File</x:v>
      </x:c>
      <x:c r="G1" t="str">
        <x:v>Bookkeeper Ledger File</x:v>
      </x:c>
      <x:c r="H1" t="str">
        <x:v>Bookkeeper Ledger File</x:v>
      </x:c>
    </x:row>
    <x:row r="2" ht="24" customHeight="1">
      <x:c r="A2" s="21" t="str">
        <x:v>Date</x:v>
      </x:c>
      <x:c r="B2" s="22" t="str">
        <x:v>Entry ID</x:v>
      </x:c>
      <x:c r="C2" s="22" t="str">
        <x:v>Account</x:v>
      </x:c>
      <x:c r="D2" s="22" t="str">
        <x:v>Description</x:v>
      </x:c>
      <x:c r="E2" s="22" t="str">
        <x:v>Debit</x:v>
      </x:c>
      <x:c r="F2" s="22" t="str">
        <x:v>Credit</x:v>
      </x:c>
      <x:c r="G2" s="22" t="str">
        <x:v>Running Balance</x:v>
      </x:c>
      <x:c r="H2" s="23" t="str">
        <x:v>Reference</x:v>
      </x:c>
    </x:row>
    <x:row r="3">
      <x:c r="A3" s="91" t="n">
        <x:v>46204</x:v>
      </x:c>
      <x:c r="B3" s="57" t="str">
        <x:v>JE-001</x:v>
      </x:c>
      <x:c r="C3" s="57" t="str">
        <x:v>Cash</x:v>
      </x:c>
      <x:c r="D3" s="57" t="str">
        <x:v>Opening balance</x:v>
      </x:c>
      <x:c r="E3" s="97" t="n">
        <x:v>5000</x:v>
      </x:c>
      <x:c r="F3" s="97" t="n">
        <x:v>0</x:v>
      </x:c>
      <x:c r="G3" s="97" t="n">
        <x:f>E3-F3</x:f>
        <x:v>5000</x:v>
      </x:c>
      <x:c r="H3" s="58" t="str">
        <x:v>OPEN-2026</x:v>
      </x:c>
    </x:row>
    <x:row r="4">
      <x:c r="A4" s="92" t="n">
        <x:v>46205</x:v>
      </x:c>
      <x:c r="B4" s="60" t="str">
        <x:v>JE-002</x:v>
      </x:c>
      <x:c r="C4" s="60" t="str">
        <x:v>Sales Revenue</x:v>
      </x:c>
      <x:c r="D4" s="60" t="str">
        <x:v>Customer payment received</x:v>
      </x:c>
      <x:c r="E4" s="98" t="n">
        <x:v>1500</x:v>
      </x:c>
      <x:c r="F4" s="98" t="n">
        <x:v>0</x:v>
      </x:c>
      <x:c r="G4" s="98" t="n">
        <x:f>G3+E4-F4</x:f>
        <x:v>6500</x:v>
      </x:c>
      <x:c r="H4" s="61" t="str">
        <x:v>INV-1045</x:v>
      </x:c>
    </x:row>
    <x:row r="5">
      <x:c r="A5" s="92" t="n">
        <x:v>46206</x:v>
      </x:c>
      <x:c r="B5" s="60" t="str">
        <x:v>JE-003</x:v>
      </x:c>
      <x:c r="C5" s="60" t="str">
        <x:v>Office Supplies</x:v>
      </x:c>
      <x:c r="D5" s="60" t="str">
        <x:v>Purchased office supplies</x:v>
      </x:c>
      <x:c r="E5" s="98" t="n">
        <x:v>0</x:v>
      </x:c>
      <x:c r="F5" s="98" t="n">
        <x:v>125</x:v>
      </x:c>
      <x:c r="G5" s="98" t="n">
        <x:f>G4+E5-F5</x:f>
        <x:v>6375</x:v>
      </x:c>
      <x:c r="H5" s="61" t="str">
        <x:v>EXP-001</x:v>
      </x:c>
    </x:row>
    <x:row r="6">
      <x:c r="A6" s="92" t="n">
        <x:v>46209</x:v>
      </x:c>
      <x:c r="B6" s="60" t="str">
        <x:v>JE-004</x:v>
      </x:c>
      <x:c r="C6" s="60" t="str">
        <x:v>Travel Expense</x:v>
      </x:c>
      <x:c r="D6" s="60" t="str">
        <x:v>Fuel expense</x:v>
      </x:c>
      <x:c r="E6" s="98" t="n">
        <x:v>0</x:v>
      </x:c>
      <x:c r="F6" s="98" t="n">
        <x:v>84.78</x:v>
      </x:c>
      <x:c r="G6" s="98" t="n">
        <x:f>G5+E6-F6</x:f>
        <x:v>6290.22</x:v>
      </x:c>
      <x:c r="H6" s="61" t="str">
        <x:v>EXP-003</x:v>
      </x:c>
    </x:row>
    <x:row r="7">
      <x:c r="A7" s="93" t="n">
        <x:v>46213</x:v>
      </x:c>
      <x:c r="B7" s="63" t="str">
        <x:v>JE-005</x:v>
      </x:c>
      <x:c r="C7" s="63" t="str">
        <x:v>Utilities</x:v>
      </x:c>
      <x:c r="D7" s="63" t="str">
        <x:v>Internet bill payment</x:v>
      </x:c>
      <x:c r="E7" s="99" t="n">
        <x:v>0</x:v>
      </x:c>
      <x:c r="F7" s="99" t="n">
        <x:v>156.6</x:v>
      </x:c>
      <x:c r="G7" s="99" t="n">
        <x:f>G6+E7-F7</x:f>
        <x:v>6133.62</x:v>
      </x:c>
      <x:c r="H7" s="64" t="str">
        <x:v>EXP-005</x:v>
      </x:c>
    </x:row>
    <x:row r="9">
      <x:c r="D9" s="104" t="str">
        <x:v>Summary</x:v>
      </x:c>
      <x:c r="E9" s="105" t="str">
        <x:v>Type</x:v>
      </x:c>
      <x:c r="F9" s="106" t="str">
        <x:v>Amount</x:v>
      </x:c>
    </x:row>
    <x:row r="10">
      <x:c r="D10" s="38" t="str">
        <x:v>Totals</x:v>
      </x:c>
      <x:c r="E10" s="39" t="str">
        <x:v>Total Debit</x:v>
      </x:c>
      <x:c r="F10" s="111" t="n">
        <x:f>SUM(E3:E7)</x:f>
        <x:v>6500</x:v>
      </x:c>
    </x:row>
    <x:row r="11">
      <x:c r="D11" s="41" t="str"/>
      <x:c r="E11" s="42" t="str">
        <x:v>Total Credit</x:v>
      </x:c>
      <x:c r="F11" s="112" t="n">
        <x:f>SUM(F3:F7)</x:f>
        <x:v>366.38</x:v>
      </x:c>
    </x:row>
    <x:row r="12">
      <x:c r="D12" s="44" t="str"/>
      <x:c r="E12" s="45" t="str">
        <x:v>Closing Balance</x:v>
      </x:c>
      <x:c r="F12" s="113" t="n">
        <x:f>G7</x:f>
        <x:v>6133.62</x:v>
      </x:c>
    </x:row>
  </x:sheetData>
  <x:mergeCells>
    <x:mergeCell ref="A1:H1"/>
  </x:mergeCells>
  <x:conditionalFormatting sqref="E3:F7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{39C65890-9AD2-9885-35CF-E8B87DC79126}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68bc63959994a9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C65890-9AD2-9885-35CF-E8B87DC79126}">
            <x14:dataBar gradient="1">
              <x14:cfvo type="min"/>
              <x14:cfvo type="max"/>
              <x14:fillColor rgb="FF5B9BD5"/>
            </x14:dataBar>
          </x14:cfRule>
          <xm:sqref>E3:F7</xm:sqref>
        </x14:conditionalFormatting>
      </x14:conditionalFormattings>
    </x:ext>
  </x:extLst>
</x:worksheet>
</file>